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1237\Downloads\"/>
    </mc:Choice>
  </mc:AlternateContent>
  <xr:revisionPtr revIDLastSave="0" documentId="13_ncr:1_{0D4775D2-2817-48CA-B2EA-C765C8CEDED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1 Runtime" sheetId="1" r:id="rId1"/>
    <sheet name="S2 Runtime" sheetId="2" r:id="rId2"/>
    <sheet name="Average S1+S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3" l="1"/>
  <c r="K18" i="3"/>
  <c r="K15" i="3"/>
  <c r="K16" i="3"/>
  <c r="K17" i="3"/>
  <c r="K19" i="3"/>
  <c r="K13" i="3"/>
  <c r="C20" i="3"/>
  <c r="D20" i="3"/>
  <c r="E20" i="3"/>
  <c r="F20" i="3"/>
  <c r="G20" i="3"/>
  <c r="H20" i="3"/>
  <c r="B20" i="3"/>
  <c r="B14" i="3"/>
  <c r="C14" i="3"/>
  <c r="D14" i="3"/>
  <c r="E14" i="3"/>
  <c r="F14" i="3"/>
  <c r="G14" i="3"/>
  <c r="H14" i="3"/>
  <c r="B15" i="3"/>
  <c r="C15" i="3"/>
  <c r="D15" i="3"/>
  <c r="E15" i="3"/>
  <c r="F15" i="3"/>
  <c r="G15" i="3"/>
  <c r="H15" i="3"/>
  <c r="B16" i="3"/>
  <c r="C16" i="3"/>
  <c r="D16" i="3"/>
  <c r="E16" i="3"/>
  <c r="F16" i="3"/>
  <c r="G16" i="3"/>
  <c r="H16" i="3"/>
  <c r="B17" i="3"/>
  <c r="C17" i="3"/>
  <c r="D17" i="3"/>
  <c r="E17" i="3"/>
  <c r="F17" i="3"/>
  <c r="G17" i="3"/>
  <c r="H17" i="3"/>
  <c r="B18" i="3"/>
  <c r="C18" i="3"/>
  <c r="D18" i="3"/>
  <c r="E18" i="3"/>
  <c r="F18" i="3"/>
  <c r="G18" i="3"/>
  <c r="H18" i="3"/>
  <c r="B19" i="3"/>
  <c r="C19" i="3"/>
  <c r="D19" i="3"/>
  <c r="E19" i="3"/>
  <c r="F19" i="3"/>
  <c r="G19" i="3"/>
  <c r="H19" i="3"/>
  <c r="C13" i="3"/>
  <c r="D13" i="3"/>
  <c r="E13" i="3"/>
  <c r="F13" i="3"/>
  <c r="G13" i="3"/>
  <c r="H13" i="3"/>
  <c r="B13" i="3"/>
  <c r="C20" i="2"/>
  <c r="D20" i="2"/>
  <c r="E20" i="2"/>
  <c r="F20" i="2"/>
  <c r="G20" i="2"/>
  <c r="H20" i="2"/>
  <c r="B20" i="2"/>
  <c r="K17" i="2"/>
  <c r="K18" i="2"/>
  <c r="K19" i="2"/>
  <c r="K16" i="2"/>
  <c r="K15" i="2"/>
  <c r="K14" i="2"/>
  <c r="K13" i="2"/>
</calcChain>
</file>

<file path=xl/sharedStrings.xml><?xml version="1.0" encoding="utf-8"?>
<sst xmlns="http://schemas.openxmlformats.org/spreadsheetml/2006/main" count="238" uniqueCount="69">
  <si>
    <t>Dataset</t>
  </si>
  <si>
    <t>K-Means</t>
  </si>
  <si>
    <t>Fairlet</t>
  </si>
  <si>
    <t>BFKM</t>
  </si>
  <si>
    <t>CCF</t>
  </si>
  <si>
    <t>PP-NFP</t>
  </si>
  <si>
    <t>PP-Gini</t>
  </si>
  <si>
    <t>Rawlsian</t>
  </si>
  <si>
    <t>Fastest</t>
  </si>
  <si>
    <t>Slowest</t>
  </si>
  <si>
    <t>Ratio</t>
  </si>
  <si>
    <t>D1</t>
  </si>
  <si>
    <t>48.6×</t>
  </si>
  <si>
    <t>D2</t>
  </si>
  <si>
    <t>12.6×</t>
  </si>
  <si>
    <t>D3</t>
  </si>
  <si>
    <t>inf×</t>
  </si>
  <si>
    <t>D4</t>
  </si>
  <si>
    <t>15.6×</t>
  </si>
  <si>
    <t>D5</t>
  </si>
  <si>
    <t>24.3×</t>
  </si>
  <si>
    <t>D1_race</t>
  </si>
  <si>
    <t>43.0×</t>
  </si>
  <si>
    <t>D1_comb</t>
  </si>
  <si>
    <t>53.3×</t>
  </si>
  <si>
    <t>D2_race</t>
  </si>
  <si>
    <t>9.4×</t>
  </si>
  <si>
    <t>D2_comb</t>
  </si>
  <si>
    <t>D5_race</t>
  </si>
  <si>
    <t>23.4×</t>
  </si>
  <si>
    <t>D5_comb</t>
  </si>
  <si>
    <t>21.8×</t>
  </si>
  <si>
    <t>D6</t>
  </si>
  <si>
    <t>35.1×</t>
  </si>
  <si>
    <t>D6_race</t>
  </si>
  <si>
    <t>21.5×</t>
  </si>
  <si>
    <t>D6_comb</t>
  </si>
  <si>
    <t>27.8×</t>
  </si>
  <si>
    <t>D7</t>
  </si>
  <si>
    <t>92.2×</t>
  </si>
  <si>
    <t>D8</t>
  </si>
  <si>
    <t>58.1×</t>
  </si>
  <si>
    <t>D8_race</t>
  </si>
  <si>
    <t>56.5×</t>
  </si>
  <si>
    <t>D8_comb</t>
  </si>
  <si>
    <t>59.2×</t>
  </si>
  <si>
    <t>Average</t>
  </si>
  <si>
    <t>45.0×</t>
  </si>
  <si>
    <t>11.6×</t>
  </si>
  <si>
    <t>15.1×</t>
  </si>
  <si>
    <t>22.8×</t>
  </si>
  <si>
    <t>39.7×</t>
  </si>
  <si>
    <t>55.0×</t>
  </si>
  <si>
    <t>9.8×</t>
  </si>
  <si>
    <t>9.6×</t>
  </si>
  <si>
    <t>24.4×</t>
  </si>
  <si>
    <t>23.5×</t>
  </si>
  <si>
    <t>45.1×</t>
  </si>
  <si>
    <t>12.1×</t>
  </si>
  <si>
    <t>15.3×</t>
  </si>
  <si>
    <t>23.3×</t>
  </si>
  <si>
    <t>41.2×</t>
  </si>
  <si>
    <t>52.9×</t>
  </si>
  <si>
    <t>9.5×</t>
  </si>
  <si>
    <t>23.9×</t>
  </si>
  <si>
    <t>22.7×</t>
  </si>
  <si>
    <t>PP-Gini</t>
    <phoneticPr fontId="4" type="noConversion"/>
  </si>
  <si>
    <t>Rawlsian</t>
    <phoneticPr fontId="4" type="noConversion"/>
  </si>
  <si>
    <t>PP-NFP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</si>
</sst>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0.0_);[Red]\(0.0\)"/>
  </numFmts>
  <fonts count="6">
    <font>
      <sz val="11"/>
      <color theme="1"/>
      <name val="宋体"/>
      <family val="2"/>
      <scheme val="minor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宋体"/>
      <family val="3"/>
      <charset val="134"/>
      <scheme val="minor"/>
    </font>
    <font>
      <sz val="9"/>
      <name val="Microsoft YaHe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2E74B5"/>
      </patternFill>
    </fill>
    <fill>
      <patternFill patternType="solid">
        <fgColor rgb="FFF5F9FD"/>
      </patternFill>
    </fill>
    <fill>
      <patternFill patternType="solid">
        <fgColor rgb="FFFFE7E7"/>
      </patternFill>
    </fill>
    <fill>
      <patternFill patternType="solid">
        <fgColor rgb="FFE7FFE7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86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"/>
  <cols>
    <col min="1" max="1" width="12" customWidth="1"/>
    <col min="2" max="12" width="11" customWidth="1"/>
  </cols>
  <sheetData>
    <row r="1" spans="1:1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>
      <c r="A2" s="2" t="s">
        <v>11</v>
      </c>
      <c r="B2" s="3">
        <v>13.3</v>
      </c>
      <c r="C2" s="3">
        <v>64.3</v>
      </c>
      <c r="D2" s="3">
        <v>13.5</v>
      </c>
      <c r="E2" s="4">
        <v>582.9</v>
      </c>
      <c r="F2" s="5">
        <v>12</v>
      </c>
      <c r="G2" s="3">
        <v>143.30000000000001</v>
      </c>
      <c r="H2" s="3">
        <v>22.3</v>
      </c>
      <c r="I2" s="3" t="s">
        <v>5</v>
      </c>
      <c r="J2" s="3" t="s">
        <v>4</v>
      </c>
      <c r="K2" s="3" t="s">
        <v>12</v>
      </c>
    </row>
    <row r="3" spans="1:11" ht="15" customHeight="1">
      <c r="A3" s="6" t="s">
        <v>13</v>
      </c>
      <c r="B3" s="7">
        <v>2</v>
      </c>
      <c r="C3" s="7">
        <v>4.8</v>
      </c>
      <c r="D3" s="5">
        <v>1.9</v>
      </c>
      <c r="E3" s="7">
        <v>23.1</v>
      </c>
      <c r="F3" s="7">
        <v>1.9</v>
      </c>
      <c r="G3" s="4">
        <v>23.9</v>
      </c>
      <c r="H3" s="7">
        <v>4</v>
      </c>
      <c r="I3" s="7" t="s">
        <v>3</v>
      </c>
      <c r="J3" s="7" t="s">
        <v>6</v>
      </c>
      <c r="K3" s="7" t="s">
        <v>14</v>
      </c>
    </row>
    <row r="4" spans="1:11" ht="15" customHeight="1">
      <c r="A4" s="2" t="s">
        <v>15</v>
      </c>
      <c r="B4" s="3">
        <v>0.1</v>
      </c>
      <c r="C4" s="3">
        <v>0.2</v>
      </c>
      <c r="D4" s="5">
        <v>0</v>
      </c>
      <c r="E4" s="4">
        <v>0.5</v>
      </c>
      <c r="F4" s="3">
        <v>0.1</v>
      </c>
      <c r="G4" s="3">
        <v>0.5</v>
      </c>
      <c r="H4" s="3">
        <v>0.2</v>
      </c>
      <c r="I4" s="3" t="s">
        <v>3</v>
      </c>
      <c r="J4" s="3" t="s">
        <v>4</v>
      </c>
      <c r="K4" s="3" t="s">
        <v>16</v>
      </c>
    </row>
    <row r="5" spans="1:11" ht="15" customHeight="1">
      <c r="A5" s="6" t="s">
        <v>17</v>
      </c>
      <c r="B5" s="7">
        <v>16.899999999999999</v>
      </c>
      <c r="C5" s="7">
        <v>70.599999999999994</v>
      </c>
      <c r="D5" s="5">
        <v>15.6</v>
      </c>
      <c r="E5" s="4">
        <v>243.2</v>
      </c>
      <c r="F5" s="7">
        <v>15.6</v>
      </c>
      <c r="G5" s="7">
        <v>138.9</v>
      </c>
      <c r="H5" s="7">
        <v>31.4</v>
      </c>
      <c r="I5" s="7" t="s">
        <v>3</v>
      </c>
      <c r="J5" s="7" t="s">
        <v>4</v>
      </c>
      <c r="K5" s="7" t="s">
        <v>18</v>
      </c>
    </row>
    <row r="6" spans="1:11" ht="15" customHeight="1">
      <c r="A6" s="2" t="s">
        <v>19</v>
      </c>
      <c r="B6" s="3">
        <v>4.5999999999999996</v>
      </c>
      <c r="C6" s="3">
        <v>25.1</v>
      </c>
      <c r="D6" s="5">
        <v>4.5</v>
      </c>
      <c r="E6" s="4">
        <v>109.3</v>
      </c>
      <c r="F6" s="3">
        <v>4.5999999999999996</v>
      </c>
      <c r="G6" s="3">
        <v>90.3</v>
      </c>
      <c r="H6" s="3">
        <v>9.3000000000000007</v>
      </c>
      <c r="I6" s="3" t="s">
        <v>3</v>
      </c>
      <c r="J6" s="3" t="s">
        <v>4</v>
      </c>
      <c r="K6" s="3" t="s">
        <v>20</v>
      </c>
    </row>
    <row r="7" spans="1:11" ht="15" customHeight="1">
      <c r="A7" s="6" t="s">
        <v>21</v>
      </c>
      <c r="B7" s="5">
        <v>12</v>
      </c>
      <c r="C7" s="7">
        <v>36</v>
      </c>
      <c r="D7" s="7">
        <v>12.1</v>
      </c>
      <c r="E7" s="4">
        <v>516.29999999999995</v>
      </c>
      <c r="F7" s="7">
        <v>13.4</v>
      </c>
      <c r="G7" s="7">
        <v>180.6</v>
      </c>
      <c r="H7" s="7">
        <v>25.5</v>
      </c>
      <c r="I7" s="7" t="s">
        <v>1</v>
      </c>
      <c r="J7" s="7" t="s">
        <v>4</v>
      </c>
      <c r="K7" s="7" t="s">
        <v>22</v>
      </c>
    </row>
    <row r="8" spans="1:11" ht="15" customHeight="1">
      <c r="A8" s="2" t="s">
        <v>23</v>
      </c>
      <c r="B8" s="3">
        <v>12.9</v>
      </c>
      <c r="C8" s="3">
        <v>19.3</v>
      </c>
      <c r="D8" s="3">
        <v>13</v>
      </c>
      <c r="E8" s="4">
        <v>660.5</v>
      </c>
      <c r="F8" s="5">
        <v>12.4</v>
      </c>
      <c r="G8" s="3">
        <v>54.1</v>
      </c>
      <c r="H8" s="3">
        <v>22.2</v>
      </c>
      <c r="I8" s="3" t="s">
        <v>5</v>
      </c>
      <c r="J8" s="3" t="s">
        <v>4</v>
      </c>
      <c r="K8" s="3" t="s">
        <v>24</v>
      </c>
    </row>
    <row r="9" spans="1:11" ht="15" customHeight="1">
      <c r="A9" s="6" t="s">
        <v>25</v>
      </c>
      <c r="B9" s="5">
        <v>1.4</v>
      </c>
      <c r="C9" s="7">
        <v>4.8</v>
      </c>
      <c r="D9" s="7">
        <v>1.4</v>
      </c>
      <c r="E9" s="7">
        <v>12.6</v>
      </c>
      <c r="F9" s="7">
        <v>1.4</v>
      </c>
      <c r="G9" s="4">
        <v>13.2</v>
      </c>
      <c r="H9" s="7">
        <v>3</v>
      </c>
      <c r="I9" s="7" t="s">
        <v>1</v>
      </c>
      <c r="J9" s="7" t="s">
        <v>6</v>
      </c>
      <c r="K9" s="7" t="s">
        <v>26</v>
      </c>
    </row>
    <row r="10" spans="1:11" ht="15" customHeight="1">
      <c r="A10" s="2" t="s">
        <v>27</v>
      </c>
      <c r="B10" s="3">
        <v>1.4</v>
      </c>
      <c r="C10" s="3">
        <v>2.1</v>
      </c>
      <c r="D10" s="5">
        <v>1.3</v>
      </c>
      <c r="E10" s="4">
        <v>12.2</v>
      </c>
      <c r="F10" s="3">
        <v>1.5</v>
      </c>
      <c r="G10" s="3">
        <v>8.8000000000000007</v>
      </c>
      <c r="H10" s="3">
        <v>3.1</v>
      </c>
      <c r="I10" s="3" t="s">
        <v>3</v>
      </c>
      <c r="J10" s="3" t="s">
        <v>4</v>
      </c>
      <c r="K10" s="3" t="s">
        <v>26</v>
      </c>
    </row>
    <row r="11" spans="1:11" ht="15" customHeight="1">
      <c r="A11" s="6" t="s">
        <v>28</v>
      </c>
      <c r="B11" s="7">
        <v>4.9000000000000004</v>
      </c>
      <c r="C11" s="7">
        <v>9.1999999999999993</v>
      </c>
      <c r="D11" s="5">
        <v>4.5999999999999996</v>
      </c>
      <c r="E11" s="7">
        <v>68.5</v>
      </c>
      <c r="F11" s="7">
        <v>4.7</v>
      </c>
      <c r="G11" s="4">
        <v>107.6</v>
      </c>
      <c r="H11" s="7">
        <v>8.9</v>
      </c>
      <c r="I11" s="7" t="s">
        <v>3</v>
      </c>
      <c r="J11" s="7" t="s">
        <v>6</v>
      </c>
      <c r="K11" s="7" t="s">
        <v>29</v>
      </c>
    </row>
    <row r="12" spans="1:11" ht="15" customHeight="1">
      <c r="A12" s="2" t="s">
        <v>30</v>
      </c>
      <c r="B12" s="3">
        <v>4.8</v>
      </c>
      <c r="C12" s="3">
        <v>6.3</v>
      </c>
      <c r="D12" s="5">
        <v>4.5999999999999996</v>
      </c>
      <c r="E12" s="4">
        <v>100.2</v>
      </c>
      <c r="F12" s="3">
        <v>4.8</v>
      </c>
      <c r="G12" s="3">
        <v>4.8</v>
      </c>
      <c r="H12" s="3">
        <v>9.4</v>
      </c>
      <c r="I12" s="3" t="s">
        <v>3</v>
      </c>
      <c r="J12" s="3" t="s">
        <v>4</v>
      </c>
      <c r="K12" s="3" t="s">
        <v>31</v>
      </c>
    </row>
    <row r="13" spans="1:11" ht="15" customHeight="1">
      <c r="A13" s="6" t="s">
        <v>32</v>
      </c>
      <c r="B13" s="7">
        <v>243.5</v>
      </c>
      <c r="C13" s="7">
        <v>798.6</v>
      </c>
      <c r="D13" s="7">
        <v>317.2</v>
      </c>
      <c r="E13" s="4">
        <v>6062.6</v>
      </c>
      <c r="F13" s="5">
        <v>172.7</v>
      </c>
      <c r="G13" s="7">
        <v>175.1</v>
      </c>
      <c r="H13" s="7">
        <v>346.3</v>
      </c>
      <c r="I13" s="7" t="s">
        <v>5</v>
      </c>
      <c r="J13" s="7" t="s">
        <v>4</v>
      </c>
      <c r="K13" s="7" t="s">
        <v>33</v>
      </c>
    </row>
    <row r="14" spans="1:11" ht="15" customHeight="1">
      <c r="A14" s="2" t="s">
        <v>34</v>
      </c>
      <c r="B14" s="3">
        <v>157.5</v>
      </c>
      <c r="C14" s="3">
        <v>624.5</v>
      </c>
      <c r="D14" s="3">
        <v>219.1</v>
      </c>
      <c r="E14" s="4">
        <v>3252.9</v>
      </c>
      <c r="F14" s="5">
        <v>151.4</v>
      </c>
      <c r="G14" s="3">
        <v>1622.3</v>
      </c>
      <c r="H14" s="3">
        <v>290.60000000000002</v>
      </c>
      <c r="I14" s="3" t="s">
        <v>5</v>
      </c>
      <c r="J14" s="3" t="s">
        <v>4</v>
      </c>
      <c r="K14" s="3" t="s">
        <v>35</v>
      </c>
    </row>
    <row r="15" spans="1:11" ht="15" customHeight="1">
      <c r="A15" s="6" t="s">
        <v>36</v>
      </c>
      <c r="B15" s="5">
        <v>141.30000000000001</v>
      </c>
      <c r="C15" s="7">
        <v>492.9</v>
      </c>
      <c r="D15" s="7">
        <v>228.7</v>
      </c>
      <c r="E15" s="4">
        <v>3925.7</v>
      </c>
      <c r="F15" s="7">
        <v>162.19999999999999</v>
      </c>
      <c r="G15" s="7">
        <v>163.80000000000001</v>
      </c>
      <c r="H15" s="7">
        <v>365.6</v>
      </c>
      <c r="I15" s="7" t="s">
        <v>1</v>
      </c>
      <c r="J15" s="7" t="s">
        <v>4</v>
      </c>
      <c r="K15" s="7" t="s">
        <v>37</v>
      </c>
    </row>
    <row r="16" spans="1:11" ht="15" customHeight="1">
      <c r="A16" s="2" t="s">
        <v>38</v>
      </c>
      <c r="B16" s="3">
        <v>31.2</v>
      </c>
      <c r="C16" s="3">
        <v>233.4</v>
      </c>
      <c r="D16" s="3">
        <v>30.8</v>
      </c>
      <c r="E16" s="4">
        <v>2829.3</v>
      </c>
      <c r="F16" s="5">
        <v>30.7</v>
      </c>
      <c r="G16" s="3">
        <v>387.8</v>
      </c>
      <c r="H16" s="3">
        <v>57.8</v>
      </c>
      <c r="I16" s="3" t="s">
        <v>5</v>
      </c>
      <c r="J16" s="3" t="s">
        <v>4</v>
      </c>
      <c r="K16" s="3" t="s">
        <v>39</v>
      </c>
    </row>
    <row r="17" spans="1:11" ht="15" customHeight="1">
      <c r="A17" s="6" t="s">
        <v>40</v>
      </c>
      <c r="B17" s="7">
        <v>12.9</v>
      </c>
      <c r="C17" s="7">
        <v>72.8</v>
      </c>
      <c r="D17" s="5">
        <v>11.9</v>
      </c>
      <c r="E17" s="4">
        <v>691.4</v>
      </c>
      <c r="F17" s="7">
        <v>12.5</v>
      </c>
      <c r="G17" s="7">
        <v>62.7</v>
      </c>
      <c r="H17" s="7">
        <v>24.3</v>
      </c>
      <c r="I17" s="7" t="s">
        <v>3</v>
      </c>
      <c r="J17" s="7" t="s">
        <v>4</v>
      </c>
      <c r="K17" s="7" t="s">
        <v>41</v>
      </c>
    </row>
    <row r="18" spans="1:11" ht="15" customHeight="1">
      <c r="A18" s="2" t="s">
        <v>42</v>
      </c>
      <c r="B18" s="3">
        <v>13</v>
      </c>
      <c r="C18" s="3">
        <v>56.6</v>
      </c>
      <c r="D18" s="5">
        <v>12.1</v>
      </c>
      <c r="E18" s="4">
        <v>684.1</v>
      </c>
      <c r="F18" s="3">
        <v>12.7</v>
      </c>
      <c r="G18" s="3">
        <v>140.80000000000001</v>
      </c>
      <c r="H18" s="3">
        <v>22.1</v>
      </c>
      <c r="I18" s="3" t="s">
        <v>3</v>
      </c>
      <c r="J18" s="3" t="s">
        <v>4</v>
      </c>
      <c r="K18" s="3" t="s">
        <v>43</v>
      </c>
    </row>
    <row r="19" spans="1:11" ht="15" customHeight="1">
      <c r="A19" s="6" t="s">
        <v>44</v>
      </c>
      <c r="B19" s="7">
        <v>12.6</v>
      </c>
      <c r="C19" s="7">
        <v>22</v>
      </c>
      <c r="D19" s="5">
        <v>12.3</v>
      </c>
      <c r="E19" s="4">
        <v>728.7</v>
      </c>
      <c r="F19" s="7">
        <v>12.4</v>
      </c>
      <c r="G19" s="7">
        <v>36.4</v>
      </c>
      <c r="H19" s="7">
        <v>22.7</v>
      </c>
      <c r="I19" s="7" t="s">
        <v>3</v>
      </c>
      <c r="J19" s="7" t="s">
        <v>4</v>
      </c>
      <c r="K19" s="7" t="s">
        <v>45</v>
      </c>
    </row>
    <row r="20" spans="1:11" ht="18" customHeight="1">
      <c r="A20" s="8" t="s">
        <v>46</v>
      </c>
      <c r="B20" s="8">
        <v>38.1</v>
      </c>
      <c r="C20" s="8">
        <v>141.30000000000001</v>
      </c>
      <c r="D20" s="8">
        <v>50.3</v>
      </c>
      <c r="E20" s="8">
        <v>1139.0999999999999</v>
      </c>
      <c r="F20" s="8">
        <v>34.799999999999997</v>
      </c>
      <c r="G20" s="8">
        <v>186.4</v>
      </c>
      <c r="H20" s="8">
        <v>70.5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pane xSplit="1" ySplit="1" topLeftCell="B2" activePane="bottomRight" state="frozen"/>
      <selection pane="topRight"/>
      <selection pane="bottomLeft"/>
      <selection pane="bottomRight" activeCell="B20" sqref="B20:H20"/>
    </sheetView>
  </sheetViews>
  <sheetFormatPr defaultRowHeight="14"/>
  <cols>
    <col min="1" max="1" width="12" customWidth="1"/>
    <col min="2" max="12" width="11" customWidth="1"/>
  </cols>
  <sheetData>
    <row r="1" spans="1:1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>
      <c r="A2" s="2" t="s">
        <v>11</v>
      </c>
      <c r="B2" s="3">
        <v>14.4</v>
      </c>
      <c r="C2" s="3">
        <v>67</v>
      </c>
      <c r="D2" s="5">
        <v>12.9</v>
      </c>
      <c r="E2" s="4">
        <v>580.5</v>
      </c>
      <c r="F2" s="3">
        <v>13.8</v>
      </c>
      <c r="G2" s="3">
        <v>149.30000000000001</v>
      </c>
      <c r="H2" s="3">
        <v>21.1</v>
      </c>
      <c r="I2" s="3" t="s">
        <v>3</v>
      </c>
      <c r="J2" s="3" t="s">
        <v>4</v>
      </c>
      <c r="K2" s="3" t="s">
        <v>47</v>
      </c>
    </row>
    <row r="3" spans="1:11" ht="15" customHeight="1">
      <c r="A3" s="6" t="s">
        <v>13</v>
      </c>
      <c r="B3" s="7">
        <v>2.2000000000000002</v>
      </c>
      <c r="C3" s="7">
        <v>5.2</v>
      </c>
      <c r="D3" s="7">
        <v>2.1</v>
      </c>
      <c r="E3" s="7">
        <v>22.4</v>
      </c>
      <c r="F3" s="5">
        <v>2</v>
      </c>
      <c r="G3" s="4">
        <v>23.1</v>
      </c>
      <c r="H3" s="7">
        <v>3.8</v>
      </c>
      <c r="I3" s="7" t="s">
        <v>5</v>
      </c>
      <c r="J3" s="7" t="s">
        <v>6</v>
      </c>
      <c r="K3" s="7" t="s">
        <v>48</v>
      </c>
    </row>
    <row r="4" spans="1:11" ht="15" customHeight="1">
      <c r="A4" s="2" t="s">
        <v>15</v>
      </c>
      <c r="B4" s="3">
        <v>0.1</v>
      </c>
      <c r="C4" s="3">
        <v>0.2</v>
      </c>
      <c r="D4" s="5">
        <v>0</v>
      </c>
      <c r="E4" s="4">
        <v>0.5</v>
      </c>
      <c r="F4" s="3">
        <v>0.1</v>
      </c>
      <c r="G4" s="3">
        <v>0.5</v>
      </c>
      <c r="H4" s="3">
        <v>0.2</v>
      </c>
      <c r="I4" s="3" t="s">
        <v>3</v>
      </c>
      <c r="J4" s="3" t="s">
        <v>4</v>
      </c>
      <c r="K4" s="3" t="s">
        <v>16</v>
      </c>
    </row>
    <row r="5" spans="1:11" ht="15" customHeight="1">
      <c r="A5" s="6" t="s">
        <v>17</v>
      </c>
      <c r="B5" s="7">
        <v>17.899999999999999</v>
      </c>
      <c r="C5" s="7">
        <v>77.7</v>
      </c>
      <c r="D5" s="7">
        <v>16.3</v>
      </c>
      <c r="E5" s="4">
        <v>232.2</v>
      </c>
      <c r="F5" s="5">
        <v>15.4</v>
      </c>
      <c r="G5" s="7">
        <v>153.19999999999999</v>
      </c>
      <c r="H5" s="7">
        <v>31.2</v>
      </c>
      <c r="I5" s="7" t="s">
        <v>5</v>
      </c>
      <c r="J5" s="7" t="s">
        <v>4</v>
      </c>
      <c r="K5" s="7" t="s">
        <v>49</v>
      </c>
    </row>
    <row r="6" spans="1:11" ht="15" customHeight="1">
      <c r="A6" s="2" t="s">
        <v>19</v>
      </c>
      <c r="B6" s="3">
        <v>4.9000000000000004</v>
      </c>
      <c r="C6" s="3">
        <v>27.7</v>
      </c>
      <c r="D6" s="3">
        <v>4.9000000000000004</v>
      </c>
      <c r="E6" s="4">
        <v>107.2</v>
      </c>
      <c r="F6" s="5">
        <v>4.7</v>
      </c>
      <c r="G6" s="3">
        <v>88.7</v>
      </c>
      <c r="H6" s="3">
        <v>9.1</v>
      </c>
      <c r="I6" s="3" t="s">
        <v>5</v>
      </c>
      <c r="J6" s="3" t="s">
        <v>4</v>
      </c>
      <c r="K6" s="3" t="s">
        <v>50</v>
      </c>
    </row>
    <row r="7" spans="1:11" ht="15" customHeight="1">
      <c r="A7" s="6" t="s">
        <v>21</v>
      </c>
      <c r="B7" s="7">
        <v>13.2</v>
      </c>
      <c r="C7" s="7">
        <v>39</v>
      </c>
      <c r="D7" s="5">
        <v>12.8</v>
      </c>
      <c r="E7" s="4">
        <v>508.6</v>
      </c>
      <c r="F7" s="7">
        <v>13</v>
      </c>
      <c r="G7" s="7">
        <v>176.2</v>
      </c>
      <c r="H7" s="7">
        <v>24.1</v>
      </c>
      <c r="I7" s="7" t="s">
        <v>3</v>
      </c>
      <c r="J7" s="7" t="s">
        <v>4</v>
      </c>
      <c r="K7" s="7" t="s">
        <v>51</v>
      </c>
    </row>
    <row r="8" spans="1:11" ht="15" customHeight="1">
      <c r="A8" s="2" t="s">
        <v>23</v>
      </c>
      <c r="B8" s="3">
        <v>13.6</v>
      </c>
      <c r="C8" s="3">
        <v>19.899999999999999</v>
      </c>
      <c r="D8" s="5">
        <v>12.3</v>
      </c>
      <c r="E8" s="4">
        <v>677</v>
      </c>
      <c r="F8" s="3">
        <v>13.1</v>
      </c>
      <c r="G8" s="3">
        <v>56.8</v>
      </c>
      <c r="H8" s="3">
        <v>25.3</v>
      </c>
      <c r="I8" s="3" t="s">
        <v>3</v>
      </c>
      <c r="J8" s="3" t="s">
        <v>4</v>
      </c>
      <c r="K8" s="3" t="s">
        <v>52</v>
      </c>
    </row>
    <row r="9" spans="1:11" ht="15" customHeight="1">
      <c r="A9" s="6" t="s">
        <v>25</v>
      </c>
      <c r="B9" s="5">
        <v>1.4</v>
      </c>
      <c r="C9" s="7">
        <v>5.2</v>
      </c>
      <c r="D9" s="7">
        <v>1.5</v>
      </c>
      <c r="E9" s="7">
        <v>12.9</v>
      </c>
      <c r="F9" s="7">
        <v>1.6</v>
      </c>
      <c r="G9" s="4">
        <v>13.7</v>
      </c>
      <c r="H9" s="7">
        <v>3.2</v>
      </c>
      <c r="I9" s="7" t="s">
        <v>1</v>
      </c>
      <c r="J9" s="7" t="s">
        <v>6</v>
      </c>
      <c r="K9" s="7" t="s">
        <v>53</v>
      </c>
    </row>
    <row r="10" spans="1:11" ht="15" customHeight="1">
      <c r="A10" s="2" t="s">
        <v>27</v>
      </c>
      <c r="B10" s="3">
        <v>1.5</v>
      </c>
      <c r="C10" s="3">
        <v>2.2999999999999998</v>
      </c>
      <c r="D10" s="5">
        <v>1.4</v>
      </c>
      <c r="E10" s="4">
        <v>13.5</v>
      </c>
      <c r="F10" s="3">
        <v>1.5</v>
      </c>
      <c r="G10" s="3">
        <v>8.8000000000000007</v>
      </c>
      <c r="H10" s="3">
        <v>3.1</v>
      </c>
      <c r="I10" s="3" t="s">
        <v>3</v>
      </c>
      <c r="J10" s="3" t="s">
        <v>4</v>
      </c>
      <c r="K10" s="3" t="s">
        <v>54</v>
      </c>
    </row>
    <row r="11" spans="1:11" ht="15" customHeight="1">
      <c r="A11" s="6" t="s">
        <v>28</v>
      </c>
      <c r="B11" s="7">
        <v>5.2</v>
      </c>
      <c r="C11" s="7">
        <v>10.4</v>
      </c>
      <c r="D11" s="5">
        <v>4.5999999999999996</v>
      </c>
      <c r="E11" s="7">
        <v>72.7</v>
      </c>
      <c r="F11" s="7">
        <v>5.0999999999999996</v>
      </c>
      <c r="G11" s="4">
        <v>112.1</v>
      </c>
      <c r="H11" s="7">
        <v>9.6999999999999993</v>
      </c>
      <c r="I11" s="7" t="s">
        <v>3</v>
      </c>
      <c r="J11" s="7" t="s">
        <v>6</v>
      </c>
      <c r="K11" s="7" t="s">
        <v>55</v>
      </c>
    </row>
    <row r="12" spans="1:11" ht="15" customHeight="1">
      <c r="A12" s="2" t="s">
        <v>30</v>
      </c>
      <c r="B12" s="3">
        <v>5.0999999999999996</v>
      </c>
      <c r="C12" s="3">
        <v>7</v>
      </c>
      <c r="D12" s="5">
        <v>4.7</v>
      </c>
      <c r="E12" s="4">
        <v>110.6</v>
      </c>
      <c r="F12" s="3">
        <v>4.9000000000000004</v>
      </c>
      <c r="G12" s="3">
        <v>5</v>
      </c>
      <c r="H12" s="3">
        <v>10</v>
      </c>
      <c r="I12" s="3" t="s">
        <v>3</v>
      </c>
      <c r="J12" s="3" t="s">
        <v>4</v>
      </c>
      <c r="K12" s="3" t="s">
        <v>56</v>
      </c>
    </row>
    <row r="13" spans="1:11" ht="15" customHeight="1">
      <c r="A13" s="6" t="s">
        <v>32</v>
      </c>
      <c r="B13" s="10">
        <v>243</v>
      </c>
      <c r="C13" s="10">
        <v>824.8</v>
      </c>
      <c r="D13" s="10">
        <v>317.8</v>
      </c>
      <c r="E13" s="11">
        <v>2923.9</v>
      </c>
      <c r="F13" s="10">
        <v>237.9</v>
      </c>
      <c r="G13" s="12">
        <v>236.4</v>
      </c>
      <c r="H13" s="10">
        <v>254.8</v>
      </c>
      <c r="I13" s="9" t="s">
        <v>66</v>
      </c>
      <c r="J13" s="10" t="s">
        <v>4</v>
      </c>
      <c r="K13" s="15" t="str">
        <f>ROUND(E13/G13,1)&amp;"x"</f>
        <v>12.4x</v>
      </c>
    </row>
    <row r="14" spans="1:11" ht="15" customHeight="1">
      <c r="A14" s="2" t="s">
        <v>34</v>
      </c>
      <c r="B14" s="13">
        <v>211.5</v>
      </c>
      <c r="C14" s="13">
        <v>792.6</v>
      </c>
      <c r="D14" s="13">
        <v>259.60000000000002</v>
      </c>
      <c r="E14" s="11">
        <v>2076.1</v>
      </c>
      <c r="F14" s="13">
        <v>236.6</v>
      </c>
      <c r="G14" s="13">
        <v>1861.9</v>
      </c>
      <c r="H14" s="12">
        <v>192</v>
      </c>
      <c r="I14" s="3" t="s">
        <v>67</v>
      </c>
      <c r="J14" s="10" t="s">
        <v>4</v>
      </c>
      <c r="K14" s="15" t="str">
        <f>ROUND(E14/H14,1)&amp;"x"</f>
        <v>10.8x</v>
      </c>
    </row>
    <row r="15" spans="1:11" ht="15" customHeight="1">
      <c r="A15" s="6" t="s">
        <v>36</v>
      </c>
      <c r="B15" s="10">
        <v>194</v>
      </c>
      <c r="C15" s="10">
        <v>591.79999999999995</v>
      </c>
      <c r="D15" s="10">
        <v>233.4</v>
      </c>
      <c r="E15" s="11">
        <v>1989.8</v>
      </c>
      <c r="F15" s="12">
        <v>165.6</v>
      </c>
      <c r="G15" s="10">
        <v>166.2</v>
      </c>
      <c r="H15" s="10">
        <v>169.2</v>
      </c>
      <c r="I15" s="9" t="s">
        <v>68</v>
      </c>
      <c r="J15" s="10" t="s">
        <v>4</v>
      </c>
      <c r="K15" s="15" t="str">
        <f>ROUND(E15/F15,1)&amp;"x"</f>
        <v>12x</v>
      </c>
    </row>
    <row r="16" spans="1:11" ht="15" customHeight="1">
      <c r="A16" s="2" t="s">
        <v>38</v>
      </c>
      <c r="B16" s="13">
        <v>33.200000000000003</v>
      </c>
      <c r="C16" s="13">
        <v>247.7</v>
      </c>
      <c r="D16" s="13">
        <v>33.1</v>
      </c>
      <c r="E16" s="11">
        <v>1425.6</v>
      </c>
      <c r="F16" s="13">
        <v>31</v>
      </c>
      <c r="G16" s="13">
        <v>391.4</v>
      </c>
      <c r="H16" s="12">
        <v>29</v>
      </c>
      <c r="I16" s="10" t="s">
        <v>67</v>
      </c>
      <c r="J16" s="10" t="s">
        <v>4</v>
      </c>
      <c r="K16" s="15" t="str">
        <f>ROUND(E16/H16,1)&amp;"x"</f>
        <v>49.2x</v>
      </c>
    </row>
    <row r="17" spans="1:11" ht="15" customHeight="1">
      <c r="A17" s="6" t="s">
        <v>40</v>
      </c>
      <c r="B17" s="10">
        <v>14.5</v>
      </c>
      <c r="C17" s="10">
        <v>84.3</v>
      </c>
      <c r="D17" s="10">
        <v>14.1</v>
      </c>
      <c r="E17" s="11">
        <v>355.6</v>
      </c>
      <c r="F17" s="10">
        <v>12.7</v>
      </c>
      <c r="G17" s="10">
        <v>62.5</v>
      </c>
      <c r="H17" s="12">
        <v>11.7</v>
      </c>
      <c r="I17" s="10" t="s">
        <v>67</v>
      </c>
      <c r="J17" s="10" t="s">
        <v>4</v>
      </c>
      <c r="K17" s="15" t="str">
        <f t="shared" ref="K17:K19" si="0">ROUND(E17/H17,1)&amp;"x"</f>
        <v>30.4x</v>
      </c>
    </row>
    <row r="18" spans="1:11" ht="15" customHeight="1">
      <c r="A18" s="2" t="s">
        <v>42</v>
      </c>
      <c r="B18" s="13">
        <v>14.5</v>
      </c>
      <c r="C18" s="13">
        <v>65.7</v>
      </c>
      <c r="D18" s="13">
        <v>13.6</v>
      </c>
      <c r="E18" s="11">
        <v>352.8</v>
      </c>
      <c r="F18" s="13">
        <v>13</v>
      </c>
      <c r="G18" s="13">
        <v>140.6</v>
      </c>
      <c r="H18" s="12">
        <v>11.5</v>
      </c>
      <c r="I18" s="10" t="s">
        <v>67</v>
      </c>
      <c r="J18" s="10" t="s">
        <v>4</v>
      </c>
      <c r="K18" s="15" t="str">
        <f t="shared" si="0"/>
        <v>30.7x</v>
      </c>
    </row>
    <row r="19" spans="1:11" ht="15" customHeight="1">
      <c r="A19" s="6" t="s">
        <v>44</v>
      </c>
      <c r="B19" s="10">
        <v>14.5</v>
      </c>
      <c r="C19" s="10">
        <v>25.5</v>
      </c>
      <c r="D19" s="10">
        <v>13.5</v>
      </c>
      <c r="E19" s="11">
        <v>366.1</v>
      </c>
      <c r="F19" s="10">
        <v>12.2</v>
      </c>
      <c r="G19" s="10">
        <v>36.5</v>
      </c>
      <c r="H19" s="12">
        <v>11.4</v>
      </c>
      <c r="I19" s="10" t="s">
        <v>67</v>
      </c>
      <c r="J19" s="10" t="s">
        <v>4</v>
      </c>
      <c r="K19" s="15" t="str">
        <f t="shared" si="0"/>
        <v>32.1x</v>
      </c>
    </row>
    <row r="20" spans="1:11" ht="18" customHeight="1">
      <c r="A20" s="8" t="s">
        <v>46</v>
      </c>
      <c r="B20" s="8">
        <f>ROUND(AVERAGE(B2:B19),1)</f>
        <v>44.7</v>
      </c>
      <c r="C20" s="14">
        <f t="shared" ref="C20:H20" si="1">ROUND(AVERAGE(C2:C19),1)</f>
        <v>160.80000000000001</v>
      </c>
      <c r="D20" s="14">
        <f t="shared" si="1"/>
        <v>53.3</v>
      </c>
      <c r="E20" s="14">
        <f t="shared" si="1"/>
        <v>657.1</v>
      </c>
      <c r="F20" s="14">
        <f t="shared" si="1"/>
        <v>43.6</v>
      </c>
      <c r="G20" s="14">
        <f t="shared" si="1"/>
        <v>204.6</v>
      </c>
      <c r="H20" s="14">
        <f t="shared" si="1"/>
        <v>45.6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>
      <pane xSplit="1" ySplit="1" topLeftCell="B2" activePane="bottomRight" state="frozen"/>
      <selection pane="topRight"/>
      <selection pane="bottomLeft"/>
      <selection pane="bottomRight" activeCell="L24" sqref="L24"/>
    </sheetView>
  </sheetViews>
  <sheetFormatPr defaultRowHeight="14"/>
  <cols>
    <col min="1" max="1" width="12" customWidth="1"/>
    <col min="2" max="12" width="11" customWidth="1"/>
  </cols>
  <sheetData>
    <row r="1" spans="1:1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>
      <c r="A2" s="2" t="s">
        <v>11</v>
      </c>
      <c r="B2" s="3">
        <v>13.8</v>
      </c>
      <c r="C2" s="3">
        <v>65.599999999999994</v>
      </c>
      <c r="D2" s="3">
        <v>13.2</v>
      </c>
      <c r="E2" s="4">
        <v>581.70000000000005</v>
      </c>
      <c r="F2" s="5">
        <v>12.9</v>
      </c>
      <c r="G2" s="3">
        <v>146.30000000000001</v>
      </c>
      <c r="H2" s="3">
        <v>21.7</v>
      </c>
      <c r="I2" s="3" t="s">
        <v>5</v>
      </c>
      <c r="J2" s="3" t="s">
        <v>4</v>
      </c>
      <c r="K2" s="3" t="s">
        <v>57</v>
      </c>
    </row>
    <row r="3" spans="1:11" ht="15" customHeight="1">
      <c r="A3" s="6" t="s">
        <v>13</v>
      </c>
      <c r="B3" s="7">
        <v>2.1</v>
      </c>
      <c r="C3" s="7">
        <v>5</v>
      </c>
      <c r="D3" s="7">
        <v>2</v>
      </c>
      <c r="E3" s="7">
        <v>22.8</v>
      </c>
      <c r="F3" s="5">
        <v>2</v>
      </c>
      <c r="G3" s="4">
        <v>23.5</v>
      </c>
      <c r="H3" s="7">
        <v>3.9</v>
      </c>
      <c r="I3" s="7" t="s">
        <v>5</v>
      </c>
      <c r="J3" s="7" t="s">
        <v>6</v>
      </c>
      <c r="K3" s="7" t="s">
        <v>58</v>
      </c>
    </row>
    <row r="4" spans="1:11" ht="15" customHeight="1">
      <c r="A4" s="2" t="s">
        <v>15</v>
      </c>
      <c r="B4" s="3">
        <v>0.1</v>
      </c>
      <c r="C4" s="3">
        <v>0.2</v>
      </c>
      <c r="D4" s="5">
        <v>0</v>
      </c>
      <c r="E4" s="4">
        <v>0.5</v>
      </c>
      <c r="F4" s="3">
        <v>0.1</v>
      </c>
      <c r="G4" s="3">
        <v>0.5</v>
      </c>
      <c r="H4" s="3">
        <v>0.2</v>
      </c>
      <c r="I4" s="3" t="s">
        <v>3</v>
      </c>
      <c r="J4" s="3" t="s">
        <v>4</v>
      </c>
      <c r="K4" s="3" t="s">
        <v>16</v>
      </c>
    </row>
    <row r="5" spans="1:11" ht="15" customHeight="1">
      <c r="A5" s="6" t="s">
        <v>17</v>
      </c>
      <c r="B5" s="7">
        <v>17.399999999999999</v>
      </c>
      <c r="C5" s="7">
        <v>74.2</v>
      </c>
      <c r="D5" s="7">
        <v>16</v>
      </c>
      <c r="E5" s="4">
        <v>237.7</v>
      </c>
      <c r="F5" s="5">
        <v>15.5</v>
      </c>
      <c r="G5" s="7">
        <v>146</v>
      </c>
      <c r="H5" s="7">
        <v>31.3</v>
      </c>
      <c r="I5" s="7" t="s">
        <v>5</v>
      </c>
      <c r="J5" s="7" t="s">
        <v>4</v>
      </c>
      <c r="K5" s="7" t="s">
        <v>59</v>
      </c>
    </row>
    <row r="6" spans="1:11" ht="15" customHeight="1">
      <c r="A6" s="2" t="s">
        <v>19</v>
      </c>
      <c r="B6" s="3">
        <v>4.8</v>
      </c>
      <c r="C6" s="3">
        <v>26.4</v>
      </c>
      <c r="D6" s="3">
        <v>4.7</v>
      </c>
      <c r="E6" s="4">
        <v>108.2</v>
      </c>
      <c r="F6" s="5">
        <v>4.5999999999999996</v>
      </c>
      <c r="G6" s="3">
        <v>89.5</v>
      </c>
      <c r="H6" s="3">
        <v>9.1999999999999993</v>
      </c>
      <c r="I6" s="3" t="s">
        <v>5</v>
      </c>
      <c r="J6" s="3" t="s">
        <v>4</v>
      </c>
      <c r="K6" s="3" t="s">
        <v>60</v>
      </c>
    </row>
    <row r="7" spans="1:11" ht="15" customHeight="1">
      <c r="A7" s="6" t="s">
        <v>21</v>
      </c>
      <c r="B7" s="7">
        <v>12.6</v>
      </c>
      <c r="C7" s="7">
        <v>37.5</v>
      </c>
      <c r="D7" s="5">
        <v>12.4</v>
      </c>
      <c r="E7" s="4">
        <v>512.4</v>
      </c>
      <c r="F7" s="7">
        <v>13.2</v>
      </c>
      <c r="G7" s="7">
        <v>178.4</v>
      </c>
      <c r="H7" s="7">
        <v>24.8</v>
      </c>
      <c r="I7" s="7" t="s">
        <v>3</v>
      </c>
      <c r="J7" s="7" t="s">
        <v>4</v>
      </c>
      <c r="K7" s="7" t="s">
        <v>61</v>
      </c>
    </row>
    <row r="8" spans="1:11" ht="15" customHeight="1">
      <c r="A8" s="2" t="s">
        <v>23</v>
      </c>
      <c r="B8" s="3">
        <v>13.2</v>
      </c>
      <c r="C8" s="3">
        <v>19.600000000000001</v>
      </c>
      <c r="D8" s="5">
        <v>12.6</v>
      </c>
      <c r="E8" s="4">
        <v>668.8</v>
      </c>
      <c r="F8" s="3">
        <v>12.8</v>
      </c>
      <c r="G8" s="3">
        <v>55.4</v>
      </c>
      <c r="H8" s="3">
        <v>23.8</v>
      </c>
      <c r="I8" s="3" t="s">
        <v>3</v>
      </c>
      <c r="J8" s="3" t="s">
        <v>4</v>
      </c>
      <c r="K8" s="3" t="s">
        <v>62</v>
      </c>
    </row>
    <row r="9" spans="1:11" ht="15" customHeight="1">
      <c r="A9" s="6" t="s">
        <v>25</v>
      </c>
      <c r="B9" s="5">
        <v>1.4</v>
      </c>
      <c r="C9" s="7">
        <v>5</v>
      </c>
      <c r="D9" s="7">
        <v>1.4</v>
      </c>
      <c r="E9" s="7">
        <v>12.8</v>
      </c>
      <c r="F9" s="7">
        <v>1.5</v>
      </c>
      <c r="G9" s="4">
        <v>13.4</v>
      </c>
      <c r="H9" s="7">
        <v>3.1</v>
      </c>
      <c r="I9" s="7" t="s">
        <v>1</v>
      </c>
      <c r="J9" s="7" t="s">
        <v>6</v>
      </c>
      <c r="K9" s="7" t="s">
        <v>54</v>
      </c>
    </row>
    <row r="10" spans="1:11" ht="15" customHeight="1">
      <c r="A10" s="2" t="s">
        <v>27</v>
      </c>
      <c r="B10" s="3">
        <v>1.4</v>
      </c>
      <c r="C10" s="3">
        <v>2.2000000000000002</v>
      </c>
      <c r="D10" s="5">
        <v>1.4</v>
      </c>
      <c r="E10" s="4">
        <v>12.8</v>
      </c>
      <c r="F10" s="3">
        <v>1.5</v>
      </c>
      <c r="G10" s="3">
        <v>8.8000000000000007</v>
      </c>
      <c r="H10" s="3">
        <v>3.1</v>
      </c>
      <c r="I10" s="3" t="s">
        <v>3</v>
      </c>
      <c r="J10" s="3" t="s">
        <v>4</v>
      </c>
      <c r="K10" s="3" t="s">
        <v>63</v>
      </c>
    </row>
    <row r="11" spans="1:11" ht="15" customHeight="1">
      <c r="A11" s="6" t="s">
        <v>28</v>
      </c>
      <c r="B11" s="7">
        <v>5.0999999999999996</v>
      </c>
      <c r="C11" s="7">
        <v>9.8000000000000007</v>
      </c>
      <c r="D11" s="5">
        <v>4.5999999999999996</v>
      </c>
      <c r="E11" s="7">
        <v>70.599999999999994</v>
      </c>
      <c r="F11" s="7">
        <v>4.9000000000000004</v>
      </c>
      <c r="G11" s="4">
        <v>109.8</v>
      </c>
      <c r="H11" s="7">
        <v>9.3000000000000007</v>
      </c>
      <c r="I11" s="7" t="s">
        <v>3</v>
      </c>
      <c r="J11" s="7" t="s">
        <v>6</v>
      </c>
      <c r="K11" s="7" t="s">
        <v>64</v>
      </c>
    </row>
    <row r="12" spans="1:11" ht="15" customHeight="1">
      <c r="A12" s="2" t="s">
        <v>30</v>
      </c>
      <c r="B12" s="3">
        <v>4.9000000000000004</v>
      </c>
      <c r="C12" s="3">
        <v>6.6</v>
      </c>
      <c r="D12" s="5">
        <v>4.5999999999999996</v>
      </c>
      <c r="E12" s="4">
        <v>105.4</v>
      </c>
      <c r="F12" s="3">
        <v>4.8</v>
      </c>
      <c r="G12" s="3">
        <v>4.9000000000000004</v>
      </c>
      <c r="H12" s="3">
        <v>9.6999999999999993</v>
      </c>
      <c r="I12" s="3" t="s">
        <v>3</v>
      </c>
      <c r="J12" s="3" t="s">
        <v>4</v>
      </c>
      <c r="K12" s="3" t="s">
        <v>65</v>
      </c>
    </row>
    <row r="13" spans="1:11" ht="15" customHeight="1">
      <c r="A13" s="6" t="s">
        <v>32</v>
      </c>
      <c r="B13" s="7">
        <f>ROUND(AVERAGE('S1 Runtime'!B13,'S2 Runtime'!B13),1)</f>
        <v>243.3</v>
      </c>
      <c r="C13" s="13">
        <f>ROUND(AVERAGE('S1 Runtime'!C13,'S2 Runtime'!C13),1)</f>
        <v>811.7</v>
      </c>
      <c r="D13" s="13">
        <f>ROUND(AVERAGE('S1 Runtime'!D13,'S2 Runtime'!D13),1)</f>
        <v>317.5</v>
      </c>
      <c r="E13" s="11">
        <f>ROUND(AVERAGE('S1 Runtime'!E13,'S2 Runtime'!E13),1)</f>
        <v>4493.3</v>
      </c>
      <c r="F13" s="12">
        <f>ROUND(AVERAGE('S1 Runtime'!F13,'S2 Runtime'!F13),1)</f>
        <v>205.3</v>
      </c>
      <c r="G13" s="13">
        <f>ROUND(AVERAGE('S1 Runtime'!G13,'S2 Runtime'!G13),1)</f>
        <v>205.8</v>
      </c>
      <c r="H13" s="13">
        <f>ROUND(AVERAGE('S1 Runtime'!H13,'S2 Runtime'!H13),1)</f>
        <v>300.60000000000002</v>
      </c>
      <c r="I13" s="10" t="s">
        <v>5</v>
      </c>
      <c r="J13" s="10" t="s">
        <v>4</v>
      </c>
      <c r="K13" s="7" t="str">
        <f>ROUND(E13/F13,1)&amp;"x"</f>
        <v>21.9x</v>
      </c>
    </row>
    <row r="14" spans="1:11" ht="15" customHeight="1">
      <c r="A14" s="2" t="s">
        <v>34</v>
      </c>
      <c r="B14" s="12">
        <f>ROUND(AVERAGE('S1 Runtime'!B14,'S2 Runtime'!B14),1)</f>
        <v>184.5</v>
      </c>
      <c r="C14" s="13">
        <f>ROUND(AVERAGE('S1 Runtime'!C14,'S2 Runtime'!C14),1)</f>
        <v>708.6</v>
      </c>
      <c r="D14" s="13">
        <f>ROUND(AVERAGE('S1 Runtime'!D14,'S2 Runtime'!D14),1)</f>
        <v>239.4</v>
      </c>
      <c r="E14" s="11">
        <f>ROUND(AVERAGE('S1 Runtime'!E14,'S2 Runtime'!E14),1)</f>
        <v>2664.5</v>
      </c>
      <c r="F14" s="13">
        <f>ROUND(AVERAGE('S1 Runtime'!F14,'S2 Runtime'!F14),1)</f>
        <v>194</v>
      </c>
      <c r="G14" s="13">
        <f>ROUND(AVERAGE('S1 Runtime'!G14,'S2 Runtime'!G14),1)</f>
        <v>1742.1</v>
      </c>
      <c r="H14" s="13">
        <f>ROUND(AVERAGE('S1 Runtime'!H14,'S2 Runtime'!H14),1)</f>
        <v>241.3</v>
      </c>
      <c r="I14" s="13" t="s">
        <v>1</v>
      </c>
      <c r="J14" s="10" t="s">
        <v>4</v>
      </c>
      <c r="K14" s="13" t="str">
        <f>ROUND(E14/B14,1)&amp;"x"</f>
        <v>14.4x</v>
      </c>
    </row>
    <row r="15" spans="1:11" ht="15" customHeight="1">
      <c r="A15" s="6" t="s">
        <v>36</v>
      </c>
      <c r="B15" s="13">
        <f>ROUND(AVERAGE('S1 Runtime'!B15,'S2 Runtime'!B15),1)</f>
        <v>167.7</v>
      </c>
      <c r="C15" s="13">
        <f>ROUND(AVERAGE('S1 Runtime'!C15,'S2 Runtime'!C15),1)</f>
        <v>542.4</v>
      </c>
      <c r="D15" s="13">
        <f>ROUND(AVERAGE('S1 Runtime'!D15,'S2 Runtime'!D15),1)</f>
        <v>231.1</v>
      </c>
      <c r="E15" s="11">
        <f>ROUND(AVERAGE('S1 Runtime'!E15,'S2 Runtime'!E15),1)</f>
        <v>2957.8</v>
      </c>
      <c r="F15" s="12">
        <f>ROUND(AVERAGE('S1 Runtime'!F15,'S2 Runtime'!F15),1)</f>
        <v>163.9</v>
      </c>
      <c r="G15" s="13">
        <f>ROUND(AVERAGE('S1 Runtime'!G15,'S2 Runtime'!G15),1)</f>
        <v>165</v>
      </c>
      <c r="H15" s="13">
        <f>ROUND(AVERAGE('S1 Runtime'!H15,'S2 Runtime'!H15),1)</f>
        <v>267.39999999999998</v>
      </c>
      <c r="I15" s="10" t="s">
        <v>5</v>
      </c>
      <c r="J15" s="10" t="s">
        <v>4</v>
      </c>
      <c r="K15" s="13" t="str">
        <f t="shared" ref="K14:K19" si="0">ROUND(E15/F15,1)&amp;"x"</f>
        <v>18x</v>
      </c>
    </row>
    <row r="16" spans="1:11" ht="15" customHeight="1">
      <c r="A16" s="2" t="s">
        <v>38</v>
      </c>
      <c r="B16" s="13">
        <f>ROUND(AVERAGE('S1 Runtime'!B16,'S2 Runtime'!B16),1)</f>
        <v>32.200000000000003</v>
      </c>
      <c r="C16" s="13">
        <f>ROUND(AVERAGE('S1 Runtime'!C16,'S2 Runtime'!C16),1)</f>
        <v>240.6</v>
      </c>
      <c r="D16" s="13">
        <f>ROUND(AVERAGE('S1 Runtime'!D16,'S2 Runtime'!D16),1)</f>
        <v>32</v>
      </c>
      <c r="E16" s="11">
        <f>ROUND(AVERAGE('S1 Runtime'!E16,'S2 Runtime'!E16),1)</f>
        <v>2127.5</v>
      </c>
      <c r="F16" s="12">
        <f>ROUND(AVERAGE('S1 Runtime'!F16,'S2 Runtime'!F16),1)</f>
        <v>30.9</v>
      </c>
      <c r="G16" s="13">
        <f>ROUND(AVERAGE('S1 Runtime'!G16,'S2 Runtime'!G16),1)</f>
        <v>389.6</v>
      </c>
      <c r="H16" s="13">
        <f>ROUND(AVERAGE('S1 Runtime'!H16,'S2 Runtime'!H16),1)</f>
        <v>43.4</v>
      </c>
      <c r="I16" s="10" t="s">
        <v>5</v>
      </c>
      <c r="J16" s="10" t="s">
        <v>4</v>
      </c>
      <c r="K16" s="13" t="str">
        <f t="shared" si="0"/>
        <v>68.9x</v>
      </c>
    </row>
    <row r="17" spans="1:11" ht="15" customHeight="1">
      <c r="A17" s="6" t="s">
        <v>40</v>
      </c>
      <c r="B17" s="13">
        <f>ROUND(AVERAGE('S1 Runtime'!B17,'S2 Runtime'!B17),1)</f>
        <v>13.7</v>
      </c>
      <c r="C17" s="13">
        <f>ROUND(AVERAGE('S1 Runtime'!C17,'S2 Runtime'!C17),1)</f>
        <v>78.599999999999994</v>
      </c>
      <c r="D17" s="13">
        <f>ROUND(AVERAGE('S1 Runtime'!D17,'S2 Runtime'!D17),1)</f>
        <v>13</v>
      </c>
      <c r="E17" s="11">
        <f>ROUND(AVERAGE('S1 Runtime'!E17,'S2 Runtime'!E17),1)</f>
        <v>523.5</v>
      </c>
      <c r="F17" s="12">
        <f>ROUND(AVERAGE('S1 Runtime'!F17,'S2 Runtime'!F17),1)</f>
        <v>12.6</v>
      </c>
      <c r="G17" s="13">
        <f>ROUND(AVERAGE('S1 Runtime'!G17,'S2 Runtime'!G17),1)</f>
        <v>62.6</v>
      </c>
      <c r="H17" s="13">
        <f>ROUND(AVERAGE('S1 Runtime'!H17,'S2 Runtime'!H17),1)</f>
        <v>18</v>
      </c>
      <c r="I17" s="10" t="s">
        <v>5</v>
      </c>
      <c r="J17" s="10" t="s">
        <v>4</v>
      </c>
      <c r="K17" s="13" t="str">
        <f t="shared" si="0"/>
        <v>41.5x</v>
      </c>
    </row>
    <row r="18" spans="1:11" ht="15" customHeight="1">
      <c r="A18" s="2" t="s">
        <v>42</v>
      </c>
      <c r="B18" s="13">
        <f>ROUND(AVERAGE('S1 Runtime'!B18,'S2 Runtime'!B18),1)</f>
        <v>13.8</v>
      </c>
      <c r="C18" s="13">
        <f>ROUND(AVERAGE('S1 Runtime'!C18,'S2 Runtime'!C18),1)</f>
        <v>61.2</v>
      </c>
      <c r="D18" s="12">
        <f>ROUND(AVERAGE('S1 Runtime'!D18,'S2 Runtime'!D18),1)</f>
        <v>12.9</v>
      </c>
      <c r="E18" s="11">
        <f>ROUND(AVERAGE('S1 Runtime'!E18,'S2 Runtime'!E18),1)</f>
        <v>518.5</v>
      </c>
      <c r="F18" s="13">
        <f>ROUND(AVERAGE('S1 Runtime'!F18,'S2 Runtime'!F18),1)</f>
        <v>12.9</v>
      </c>
      <c r="G18" s="13">
        <f>ROUND(AVERAGE('S1 Runtime'!G18,'S2 Runtime'!G18),1)</f>
        <v>140.69999999999999</v>
      </c>
      <c r="H18" s="13">
        <f>ROUND(AVERAGE('S1 Runtime'!H18,'S2 Runtime'!H18),1)</f>
        <v>16.8</v>
      </c>
      <c r="I18" s="10" t="s">
        <v>3</v>
      </c>
      <c r="J18" s="10" t="s">
        <v>4</v>
      </c>
      <c r="K18" s="13" t="str">
        <f>ROUND(E18/D18,1)&amp;"x"</f>
        <v>40.2x</v>
      </c>
    </row>
    <row r="19" spans="1:11" ht="15" customHeight="1">
      <c r="A19" s="6" t="s">
        <v>44</v>
      </c>
      <c r="B19" s="13">
        <f>ROUND(AVERAGE('S1 Runtime'!B19,'S2 Runtime'!B19),1)</f>
        <v>13.6</v>
      </c>
      <c r="C19" s="13">
        <f>ROUND(AVERAGE('S1 Runtime'!C19,'S2 Runtime'!C19),1)</f>
        <v>23.8</v>
      </c>
      <c r="D19" s="13">
        <f>ROUND(AVERAGE('S1 Runtime'!D19,'S2 Runtime'!D19),1)</f>
        <v>12.9</v>
      </c>
      <c r="E19" s="11">
        <f>ROUND(AVERAGE('S1 Runtime'!E19,'S2 Runtime'!E19),1)</f>
        <v>547.4</v>
      </c>
      <c r="F19" s="12">
        <f>ROUND(AVERAGE('S1 Runtime'!F19,'S2 Runtime'!F19),1)</f>
        <v>12.3</v>
      </c>
      <c r="G19" s="13">
        <f>ROUND(AVERAGE('S1 Runtime'!G19,'S2 Runtime'!G19),1)</f>
        <v>36.5</v>
      </c>
      <c r="H19" s="13">
        <f>ROUND(AVERAGE('S1 Runtime'!H19,'S2 Runtime'!H19),1)</f>
        <v>17.100000000000001</v>
      </c>
      <c r="I19" s="10" t="s">
        <v>5</v>
      </c>
      <c r="J19" s="10" t="s">
        <v>4</v>
      </c>
      <c r="K19" s="13" t="str">
        <f t="shared" si="0"/>
        <v>44.5x</v>
      </c>
    </row>
    <row r="20" spans="1:11" ht="18" customHeight="1">
      <c r="A20" s="8" t="s">
        <v>46</v>
      </c>
      <c r="B20" s="8">
        <f>ROUND(AVERAGE(B2:B19),1)</f>
        <v>41.4</v>
      </c>
      <c r="C20" s="14">
        <f t="shared" ref="C20:H20" si="1">ROUND(AVERAGE(C2:C19),1)</f>
        <v>151.1</v>
      </c>
      <c r="D20" s="14">
        <f t="shared" si="1"/>
        <v>51.8</v>
      </c>
      <c r="E20" s="14">
        <f t="shared" si="1"/>
        <v>898.1</v>
      </c>
      <c r="F20" s="14">
        <f t="shared" si="1"/>
        <v>39.200000000000003</v>
      </c>
      <c r="G20" s="14">
        <f t="shared" si="1"/>
        <v>195.5</v>
      </c>
      <c r="H20" s="14">
        <f t="shared" si="1"/>
        <v>58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 Runtime</vt:lpstr>
      <vt:lpstr>S2 Runtime</vt:lpstr>
      <vt:lpstr>Average S1+S2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阳月 郑</cp:lastModifiedBy>
  <dcterms:created xsi:type="dcterms:W3CDTF">2026-07-01T20:16:00Z</dcterms:created>
  <dcterms:modified xsi:type="dcterms:W3CDTF">2026-07-01T20:46:49Z</dcterms:modified>
</cp:coreProperties>
</file>